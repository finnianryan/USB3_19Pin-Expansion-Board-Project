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深圳极限单套制造成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¥#,##0.00"/>
    <numFmt numFmtId="165" formatCode="¥#,##0.000"/>
    <numFmt numFmtId="166" formatCode="0.0%"/>
  </numFmts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595959"/>
      <sz val="9"/>
    </font>
    <font>
      <name val="微软雅黑"/>
      <b val="1"/>
      <color rgb="00000000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1F4E79"/>
      <sz val="11"/>
    </font>
    <font>
      <name val="微软雅黑"/>
      <b val="1"/>
      <color rgb="00C00000"/>
      <sz val="11"/>
    </font>
    <font>
      <name val="微软雅黑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0" fillId="4" borderId="1" pivotButton="0" quotePrefix="0" xfId="0"/>
    <xf numFmtId="164" fontId="5" fillId="4" borderId="1" applyAlignment="1" pivotButton="0" quotePrefix="0" xfId="0">
      <alignment horizontal="right" vertical="center"/>
    </xf>
    <xf numFmtId="0" fontId="6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2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0" fillId="6" borderId="1" pivotButton="0" quotePrefix="0" xfId="0"/>
    <xf numFmtId="164" fontId="5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24" customWidth="1" min="4" max="4"/>
    <col width="42" customWidth="1" min="5" max="5"/>
    <col width="14" customWidth="1" min="6" max="6"/>
    <col width="8" customWidth="1" min="7" max="7"/>
    <col width="12" customWidth="1" min="8" max="8"/>
    <col width="16" customWidth="1" min="9" max="9"/>
  </cols>
  <sheetData>
    <row r="1" ht="36" customHeight="1">
      <c r="A1" s="1" t="inlineStr">
        <is>
          <t>USB 3.0 19Pin 一进四满定义扩展板 - 深圳供应链极限单套制造成本核算</t>
        </is>
      </c>
    </row>
    <row r="2" ht="20" customHeight="1">
      <c r="A2" s="2" t="inlineStr">
        <is>
          <t>核算条件：依托深圳华强北/东莞供应链极限现货单价 | 剔除所有测试与人工工时 | 仅含硬件BOM+机器贴片制板+辅料</t>
        </is>
      </c>
    </row>
    <row r="4" ht="24" customHeight="1">
      <c r="A4" s="3" t="inlineStr">
        <is>
          <t>序号</t>
        </is>
      </c>
      <c r="B4" s="3" t="inlineStr">
        <is>
          <t>类别</t>
        </is>
      </c>
      <c r="C4" s="3" t="inlineStr">
        <is>
          <t>位号 (RefDes)</t>
        </is>
      </c>
      <c r="D4" s="3" t="inlineStr">
        <is>
          <t>器件名称 / 型号</t>
        </is>
      </c>
      <c r="E4" s="3" t="inlineStr">
        <is>
          <t>规格描述</t>
        </is>
      </c>
      <c r="F4" s="3" t="inlineStr">
        <is>
          <t>封装</t>
        </is>
      </c>
      <c r="G4" s="3" t="inlineStr">
        <is>
          <t>用量</t>
        </is>
      </c>
      <c r="H4" s="3" t="inlineStr">
        <is>
          <t>单价 (元)</t>
        </is>
      </c>
      <c r="I4" s="3" t="inlineStr">
        <is>
          <t>单套小计 (元)</t>
        </is>
      </c>
    </row>
    <row r="5" ht="20" customHeight="1">
      <c r="A5" s="4" t="n">
        <v>1</v>
      </c>
      <c r="B5" s="4" t="inlineStr">
        <is>
          <t>核心芯片</t>
        </is>
      </c>
      <c r="C5" s="4" t="inlineStr">
        <is>
          <t>U1, U2</t>
        </is>
      </c>
      <c r="D5" s="5" t="inlineStr">
        <is>
          <t>GL3510-OGY04</t>
        </is>
      </c>
      <c r="E5" s="5" t="inlineStr">
        <is>
          <t>USB 3.1 Gen1 Hub 控制器 (华强北/代理原盘批量价)</t>
        </is>
      </c>
      <c r="F5" s="4" t="inlineStr">
        <is>
          <t>QFN-64</t>
        </is>
      </c>
      <c r="G5" s="4" t="n">
        <v>2</v>
      </c>
      <c r="H5" s="6" t="n">
        <v>2.95</v>
      </c>
      <c r="I5" s="6">
        <f>G5*H5</f>
        <v/>
      </c>
    </row>
    <row r="6" ht="20" customHeight="1">
      <c r="A6" s="4" t="n">
        <v>2</v>
      </c>
      <c r="B6" s="4" t="inlineStr">
        <is>
          <t>过流保护</t>
        </is>
      </c>
      <c r="C6" s="4" t="inlineStr">
        <is>
          <t>F1 ~ F4</t>
        </is>
      </c>
      <c r="D6" s="5" t="inlineStr">
        <is>
          <t>LP-MSM260</t>
        </is>
      </c>
      <c r="E6" s="5" t="inlineStr">
        <is>
          <t>贴片 PPTC (2.6A/6V 维安/陆宝盘装现货)</t>
        </is>
      </c>
      <c r="F6" s="4" t="inlineStr">
        <is>
          <t>1206</t>
        </is>
      </c>
      <c r="G6" s="4" t="n">
        <v>4</v>
      </c>
      <c r="H6" s="6" t="n">
        <v>0.09</v>
      </c>
      <c r="I6" s="6">
        <f>G6*H6</f>
        <v/>
      </c>
    </row>
    <row r="7" ht="20" customHeight="1">
      <c r="A7" s="4" t="n">
        <v>3</v>
      </c>
      <c r="B7" s="4" t="inlineStr">
        <is>
          <t>电源 TVS</t>
        </is>
      </c>
      <c r="C7" s="4" t="inlineStr">
        <is>
          <t>D11</t>
        </is>
      </c>
      <c r="D7" s="5" t="inlineStr">
        <is>
          <t>SMAJ5.0A</t>
        </is>
      </c>
      <c r="E7" s="5" t="inlineStr">
        <is>
          <t>单向 TVS 瞬态抑制二极管 (400W/5V 深圳本地品牌)</t>
        </is>
      </c>
      <c r="F7" s="4" t="inlineStr">
        <is>
          <t>SMA</t>
        </is>
      </c>
      <c r="G7" s="4" t="n">
        <v>1</v>
      </c>
      <c r="H7" s="6" t="n">
        <v>0.06</v>
      </c>
      <c r="I7" s="6">
        <f>G7*H7</f>
        <v/>
      </c>
    </row>
    <row r="8" ht="20" customHeight="1">
      <c r="A8" s="4" t="n">
        <v>4</v>
      </c>
      <c r="B8" s="4" t="inlineStr">
        <is>
          <t>高速 ESD</t>
        </is>
      </c>
      <c r="C8" s="4" t="inlineStr">
        <is>
          <t>D1 ~ D10</t>
        </is>
      </c>
      <c r="D8" s="5" t="inlineStr">
        <is>
          <t>AZ1045 / 国产平替</t>
        </is>
      </c>
      <c r="E8" s="5" t="inlineStr">
        <is>
          <t>超低容 ESD (Cj&lt;=0.28pF, 4通道 深圳现货盘装)</t>
        </is>
      </c>
      <c r="F8" s="4" t="inlineStr">
        <is>
          <t>DFN-10P</t>
        </is>
      </c>
      <c r="G8" s="4" t="n">
        <v>10</v>
      </c>
      <c r="H8" s="6" t="n">
        <v>0.2</v>
      </c>
      <c r="I8" s="6">
        <f>G8*H8</f>
        <v/>
      </c>
    </row>
    <row r="9" ht="20" customHeight="1">
      <c r="A9" s="4" t="n">
        <v>5</v>
      </c>
      <c r="B9" s="4" t="inlineStr">
        <is>
          <t>低速 ESD</t>
        </is>
      </c>
      <c r="C9" s="4" t="inlineStr">
        <is>
          <t>D12 ~ D16</t>
        </is>
      </c>
      <c r="D9" s="5" t="inlineStr">
        <is>
          <t>SR05 / USBLC6</t>
        </is>
      </c>
      <c r="E9" s="5" t="inlineStr">
        <is>
          <t>USB 2.0 差分 ESD 阵列 (国产 SOT-23-6 盘装)</t>
        </is>
      </c>
      <c r="F9" s="4" t="inlineStr">
        <is>
          <t>SOT-23-6</t>
        </is>
      </c>
      <c r="G9" s="4" t="n">
        <v>5</v>
      </c>
      <c r="H9" s="6" t="n">
        <v>0.05</v>
      </c>
      <c r="I9" s="6">
        <f>G9*H9</f>
        <v/>
      </c>
    </row>
    <row r="10" ht="20" customHeight="1">
      <c r="A10" s="4" t="n">
        <v>6</v>
      </c>
      <c r="B10" s="4" t="inlineStr">
        <is>
          <t>时钟晶振</t>
        </is>
      </c>
      <c r="C10" s="4" t="inlineStr">
        <is>
          <t>Y1, Y2</t>
        </is>
      </c>
      <c r="D10" s="5" t="inlineStr">
        <is>
          <t>24.000MHz 3225</t>
        </is>
      </c>
      <c r="E10" s="5" t="inlineStr">
        <is>
          <t>24MHz 贴片无源晶振 (扬兴/晶科/泰晶盘装)</t>
        </is>
      </c>
      <c r="F10" s="4" t="inlineStr">
        <is>
          <t>3225-4P</t>
        </is>
      </c>
      <c r="G10" s="4" t="n">
        <v>2</v>
      </c>
      <c r="H10" s="6" t="n">
        <v>0.2</v>
      </c>
      <c r="I10" s="6">
        <f>G10*H10</f>
        <v/>
      </c>
    </row>
    <row r="11" ht="20" customHeight="1">
      <c r="A11" s="4" t="n">
        <v>7</v>
      </c>
      <c r="B11" s="4" t="inlineStr">
        <is>
          <t>功率电感</t>
        </is>
      </c>
      <c r="C11" s="4" t="inlineStr">
        <is>
          <t>L1, L2</t>
        </is>
      </c>
      <c r="D11" s="5" t="inlineStr">
        <is>
          <t>2.2μH 2520 一体成型</t>
        </is>
      </c>
      <c r="E11" s="5" t="inlineStr">
        <is>
          <t>2.2μH 贴片功率电感 (Isat=1.2A 顺络/国产盘装)</t>
        </is>
      </c>
      <c r="F11" s="4" t="inlineStr">
        <is>
          <t>2520 (0806)</t>
        </is>
      </c>
      <c r="G11" s="4" t="n">
        <v>2</v>
      </c>
      <c r="H11" s="6" t="n">
        <v>0.11</v>
      </c>
      <c r="I11" s="6">
        <f>G11*H11</f>
        <v/>
      </c>
    </row>
    <row r="12" ht="20" customHeight="1">
      <c r="A12" s="4" t="n">
        <v>8</v>
      </c>
      <c r="B12" s="4" t="inlineStr">
        <is>
          <t>主储能电容</t>
        </is>
      </c>
      <c r="C12" s="4" t="inlineStr">
        <is>
          <t>C1</t>
        </is>
      </c>
      <c r="D12" s="5" t="inlineStr">
        <is>
          <t>贴片固态电容</t>
        </is>
      </c>
      <c r="E12" s="5" t="inlineStr">
        <is>
          <t>100μF / 10V 低ESR 钽电容/聚合物固态 (国产盘装)</t>
        </is>
      </c>
      <c r="F12" s="4" t="inlineStr">
        <is>
          <t>Case-B 3528</t>
        </is>
      </c>
      <c r="G12" s="4" t="n">
        <v>1</v>
      </c>
      <c r="H12" s="6" t="n">
        <v>0.3</v>
      </c>
      <c r="I12" s="6">
        <f>G12*H12</f>
        <v/>
      </c>
    </row>
    <row r="13" ht="20" customHeight="1">
      <c r="A13" s="4" t="n">
        <v>9</v>
      </c>
      <c r="B13" s="4" t="inlineStr">
        <is>
          <t>陶瓷电容组</t>
        </is>
      </c>
      <c r="C13" s="4" t="inlineStr">
        <is>
          <t>C_MLCC</t>
        </is>
      </c>
      <c r="D13" s="5" t="inlineStr">
        <is>
          <t>贴片陶瓷电容包</t>
        </is>
      </c>
      <c r="E13" s="5" t="inlineStr">
        <is>
          <t>0.1uF / 1uF / 10uF / 18pF (国巨/风华/三环 盘装折算)</t>
        </is>
      </c>
      <c r="F13" s="4" t="inlineStr">
        <is>
          <t>0402 / 0805</t>
        </is>
      </c>
      <c r="G13" s="4" t="n">
        <v>30</v>
      </c>
      <c r="H13" s="7" t="n">
        <v>0.005</v>
      </c>
      <c r="I13" s="6">
        <f>G13*H13</f>
        <v/>
      </c>
    </row>
    <row r="14" ht="20" customHeight="1">
      <c r="A14" s="4" t="n">
        <v>10</v>
      </c>
      <c r="B14" s="4" t="inlineStr">
        <is>
          <t>贴片电阻组</t>
        </is>
      </c>
      <c r="C14" s="4" t="inlineStr">
        <is>
          <t>R_CHIP</t>
        </is>
      </c>
      <c r="D14" s="5" t="inlineStr">
        <is>
          <t>贴片电阻组合包</t>
        </is>
      </c>
      <c r="E14" s="5" t="inlineStr">
        <is>
          <t>100kΩ / 10kΩ / 4.7kΩ (0402 1% 国巨/厚声 盘装折算)</t>
        </is>
      </c>
      <c r="F14" s="4" t="inlineStr">
        <is>
          <t>0402</t>
        </is>
      </c>
      <c r="G14" s="4" t="n">
        <v>15</v>
      </c>
      <c r="H14" s="7" t="n">
        <v>0.002</v>
      </c>
      <c r="I14" s="6">
        <f>G14*H14</f>
        <v/>
      </c>
    </row>
    <row r="15" ht="20" customHeight="1">
      <c r="A15" s="4" t="n">
        <v>11</v>
      </c>
      <c r="B15" s="4" t="inlineStr">
        <is>
          <t>指示灯</t>
        </is>
      </c>
      <c r="C15" s="4" t="inlineStr">
        <is>
          <t>LED1</t>
        </is>
      </c>
      <c r="D15" s="5" t="inlineStr">
        <is>
          <t>贴片发光二极管</t>
        </is>
      </c>
      <c r="E15" s="5" t="inlineStr">
        <is>
          <t>绿色 0603 高亮电源指示灯 (盘装)</t>
        </is>
      </c>
      <c r="F15" s="4" t="inlineStr">
        <is>
          <t>0603</t>
        </is>
      </c>
      <c r="G15" s="4" t="n">
        <v>1</v>
      </c>
      <c r="H15" s="6" t="n">
        <v>0.015</v>
      </c>
      <c r="I15" s="6">
        <f>G15*H15</f>
        <v/>
      </c>
    </row>
    <row r="16" ht="20" customHeight="1">
      <c r="A16" s="4" t="n">
        <v>12</v>
      </c>
      <c r="B16" s="4" t="inlineStr">
        <is>
          <t>供电接口</t>
        </is>
      </c>
      <c r="C16" s="4" t="inlineStr">
        <is>
          <t>J_PWR</t>
        </is>
      </c>
      <c r="D16" s="5" t="inlineStr">
        <is>
          <t>SATA-15P-M-SMT-RA</t>
        </is>
      </c>
      <c r="E16" s="5" t="inlineStr">
        <is>
          <t>SATA 15Pin 卧式公座 (东莞/深圳模具厂出厂价)</t>
        </is>
      </c>
      <c r="F16" s="4" t="inlineStr">
        <is>
          <t>15Pin 卧式</t>
        </is>
      </c>
      <c r="G16" s="4" t="n">
        <v>1</v>
      </c>
      <c r="H16" s="6" t="n">
        <v>0.4</v>
      </c>
      <c r="I16" s="6">
        <f>G16*H16</f>
        <v/>
      </c>
    </row>
    <row r="17" ht="20" customHeight="1">
      <c r="A17" s="4" t="n">
        <v>13</v>
      </c>
      <c r="B17" s="4" t="inlineStr">
        <is>
          <t>输入接口</t>
        </is>
      </c>
      <c r="C17" s="4" t="inlineStr">
        <is>
          <t>J_IN</t>
        </is>
      </c>
      <c r="D17" s="5" t="inlineStr">
        <is>
          <t>USB3.0-19P-F-180</t>
        </is>
      </c>
      <c r="E17" s="5" t="inlineStr">
        <is>
          <t>19Pin 直插母座带外框 (2x10P 2.0mm 模具直供)</t>
        </is>
      </c>
      <c r="F17" s="4" t="inlineStr">
        <is>
          <t>2x10P 直插</t>
        </is>
      </c>
      <c r="G17" s="4" t="n">
        <v>1</v>
      </c>
      <c r="H17" s="6" t="n">
        <v>0.8</v>
      </c>
      <c r="I17" s="6">
        <f>G17*H17</f>
        <v/>
      </c>
    </row>
    <row r="18" ht="20" customHeight="1">
      <c r="A18" s="4" t="n">
        <v>14</v>
      </c>
      <c r="B18" s="4" t="inlineStr">
        <is>
          <t>输出接口</t>
        </is>
      </c>
      <c r="C18" s="4" t="inlineStr">
        <is>
          <t>J_OUT1 ~ J_OUT4</t>
        </is>
      </c>
      <c r="D18" s="5" t="inlineStr">
        <is>
          <t>USB3-19P-M-90-RA</t>
        </is>
      </c>
      <c r="E18" s="5" t="inlineStr">
        <is>
          <t>19Pin 90°卧式弯针公座 (东莞/深圳工厂直发)</t>
        </is>
      </c>
      <c r="F18" s="4" t="inlineStr">
        <is>
          <t>2x10P 弯插</t>
        </is>
      </c>
      <c r="G18" s="4" t="n">
        <v>4</v>
      </c>
      <c r="H18" s="6" t="n">
        <v>0.5</v>
      </c>
      <c r="I18" s="6">
        <f>G18*H18</f>
        <v/>
      </c>
    </row>
    <row r="19" ht="24" customHeight="1">
      <c r="A19" s="8" t="inlineStr">
        <is>
          <t>一、深圳现货渠道 单套硬件 BOM 成本小计</t>
        </is>
      </c>
      <c r="B19" s="9" t="n"/>
      <c r="C19" s="9" t="n"/>
      <c r="D19" s="9" t="n"/>
      <c r="E19" s="9" t="n"/>
      <c r="F19" s="9" t="n"/>
      <c r="G19" s="9" t="n"/>
      <c r="H19" s="9" t="n"/>
      <c r="I19" s="10">
        <f>SUM(I5:I18)</f>
        <v/>
      </c>
    </row>
    <row r="20">
      <c r="A20" t="inlineStr"/>
    </row>
    <row r="21" ht="24" customHeight="1">
      <c r="A21" s="3" t="inlineStr">
        <is>
          <t>序号</t>
        </is>
      </c>
      <c r="B21" s="3" t="inlineStr">
        <is>
          <t>项目分类</t>
        </is>
      </c>
      <c r="C21" s="3" t="inlineStr">
        <is>
          <t>项目名称</t>
        </is>
      </c>
      <c r="D21" s="3" t="inlineStr">
        <is>
          <t>规格要求 / 计价依据</t>
        </is>
      </c>
      <c r="E21" s="3" t="inlineStr">
        <is>
          <t>深圳本地低成本实现方式</t>
        </is>
      </c>
      <c r="F21" s="3" t="inlineStr">
        <is>
          <t>单位</t>
        </is>
      </c>
      <c r="G21" s="3" t="inlineStr">
        <is>
          <t>数量</t>
        </is>
      </c>
      <c r="H21" s="3" t="inlineStr">
        <is>
          <t>单价 (元)</t>
        </is>
      </c>
      <c r="I21" s="3" t="inlineStr">
        <is>
          <t>单套小计 (元)</t>
        </is>
      </c>
    </row>
    <row r="22" ht="20" customHeight="1">
      <c r="A22" s="4" t="n">
        <v>1</v>
      </c>
      <c r="B22" s="4" t="inlineStr">
        <is>
          <t>裸板制版</t>
        </is>
      </c>
      <c r="C22" s="5" t="inlineStr">
        <is>
          <t>4层阻抗板 PCB</t>
        </is>
      </c>
      <c r="D22" s="5" t="inlineStr">
        <is>
          <t>62x38mm, 沉金工艺, 1.6mm (单板约0.0024㎡)</t>
        </is>
      </c>
      <c r="E22" s="5" t="inlineStr">
        <is>
          <t>深圳/惠州快板厂按平米拼板均摊价</t>
        </is>
      </c>
      <c r="F22" s="4" t="inlineStr">
        <is>
          <t>片</t>
        </is>
      </c>
      <c r="G22" s="4" t="n">
        <v>1</v>
      </c>
      <c r="H22" s="6" t="n">
        <v>1.6</v>
      </c>
      <c r="I22" s="6">
        <f>G22*H22</f>
        <v/>
      </c>
    </row>
    <row r="23" ht="20" customHeight="1">
      <c r="A23" s="4" t="n">
        <v>2</v>
      </c>
      <c r="B23" s="4" t="inlineStr">
        <is>
          <t>SMT贴片</t>
        </is>
      </c>
      <c r="C23" s="5" t="inlineStr">
        <is>
          <t>纯机器贴装加工费</t>
        </is>
      </c>
      <c r="D23" s="5" t="inlineStr">
        <is>
          <t>全板约150个SMT贴片点数 (纯贴装机台费)</t>
        </is>
      </c>
      <c r="E23" s="5" t="inlineStr">
        <is>
          <t>深圳高速贴片机加工 (约0.006元/点)</t>
        </is>
      </c>
      <c r="F23" s="4" t="inlineStr">
        <is>
          <t>套</t>
        </is>
      </c>
      <c r="G23" s="4" t="n">
        <v>1</v>
      </c>
      <c r="H23" s="6" t="n">
        <v>0.9</v>
      </c>
      <c r="I23" s="6">
        <f>G23*H23</f>
        <v/>
      </c>
    </row>
    <row r="24" ht="20" customHeight="1">
      <c r="A24" s="4" t="n">
        <v>3</v>
      </c>
      <c r="B24" s="4" t="inlineStr">
        <is>
          <t>波峰焊接</t>
        </is>
      </c>
      <c r="C24" s="5" t="inlineStr">
        <is>
          <t>接插件机动过炉费</t>
        </is>
      </c>
      <c r="D24" s="5" t="inlineStr">
        <is>
          <t>SATA座 + 5只19Pin座过波峰焊机台费 (无人工手焊)</t>
        </is>
      </c>
      <c r="E24" s="5" t="inlineStr">
        <is>
          <t>波峰焊治具过炉机动费</t>
        </is>
      </c>
      <c r="F24" s="4" t="inlineStr">
        <is>
          <t>套</t>
        </is>
      </c>
      <c r="G24" s="4" t="n">
        <v>1</v>
      </c>
      <c r="H24" s="6" t="n">
        <v>0.4</v>
      </c>
      <c r="I24" s="6">
        <f>G24*H24</f>
        <v/>
      </c>
    </row>
    <row r="25" ht="20" customHeight="1">
      <c r="A25" s="4" t="n">
        <v>4</v>
      </c>
      <c r="B25" s="4" t="inlineStr">
        <is>
          <t>绝缘辅料</t>
        </is>
      </c>
      <c r="C25" s="5" t="inlineStr">
        <is>
          <t>阻燃 EVA 背胶垫</t>
        </is>
      </c>
      <c r="D25" s="5" t="inlineStr">
        <is>
          <t>60x36mm 定制模切, 带背胶绝缘保护</t>
        </is>
      </c>
      <c r="E25" s="5" t="inlineStr">
        <is>
          <t>东莞模切厂大卷冲压直发</t>
        </is>
      </c>
      <c r="F25" s="4" t="inlineStr">
        <is>
          <t>片</t>
        </is>
      </c>
      <c r="G25" s="4" t="n">
        <v>1</v>
      </c>
      <c r="H25" s="6" t="n">
        <v>0.15</v>
      </c>
      <c r="I25" s="6">
        <f>G25*H25</f>
        <v/>
      </c>
    </row>
    <row r="26" ht="20" customHeight="1">
      <c r="A26" s="4" t="n">
        <v>5</v>
      </c>
      <c r="B26" s="4" t="inlineStr">
        <is>
          <t>包装物料</t>
        </is>
      </c>
      <c r="C26" s="5" t="inlineStr">
        <is>
          <t>防静电屏蔽袋</t>
        </is>
      </c>
      <c r="D26" s="5" t="inlineStr">
        <is>
          <t>铝箔银色防静电自封袋 (带防静电警示标)</t>
        </is>
      </c>
      <c r="E26" s="5" t="inlineStr">
        <is>
          <t>深圳包装厂整包批发价</t>
        </is>
      </c>
      <c r="F26" s="4" t="inlineStr">
        <is>
          <t>套</t>
        </is>
      </c>
      <c r="G26" s="4" t="n">
        <v>1</v>
      </c>
      <c r="H26" s="6" t="n">
        <v>0.1</v>
      </c>
      <c r="I26" s="6">
        <f>G26*H26</f>
        <v/>
      </c>
    </row>
    <row r="27" ht="24" customHeight="1">
      <c r="A27" s="8" t="inlineStr">
        <is>
          <t>二、纯硬件制板、机器加工与辅料费用小计 (已剔除人工)</t>
        </is>
      </c>
      <c r="B27" s="9" t="n"/>
      <c r="C27" s="9" t="n"/>
      <c r="D27" s="9" t="n"/>
      <c r="E27" s="9" t="n"/>
      <c r="F27" s="9" t="n"/>
      <c r="G27" s="9" t="n"/>
      <c r="H27" s="9" t="n"/>
      <c r="I27" s="10">
        <f>SUM(I22:I26)</f>
        <v/>
      </c>
    </row>
    <row r="28">
      <c r="A28" t="inlineStr"/>
    </row>
    <row r="29" ht="26" customHeight="1">
      <c r="A29" s="11" t="inlineStr">
        <is>
          <t>三、深圳极限单套综合硬件出厂成本汇总与毛利测算</t>
        </is>
      </c>
    </row>
    <row r="30" ht="24" customHeight="1">
      <c r="A30" s="5" t="inlineStr">
        <is>
          <t>单套硬件 BOM 物料底价</t>
        </is>
      </c>
      <c r="B30" s="12" t="n"/>
      <c r="C30" s="12" t="n"/>
      <c r="D30" s="12" t="n"/>
      <c r="E30" s="12" t="n"/>
      <c r="F30" s="13" t="inlineStr">
        <is>
          <t>基于深圳华强北/东莞供应链现货与工厂底价</t>
        </is>
      </c>
      <c r="G30" s="12" t="n"/>
      <c r="H30" s="12" t="n"/>
      <c r="I30" s="14">
        <f>I19</f>
        <v/>
      </c>
    </row>
    <row r="31" ht="24" customHeight="1">
      <c r="A31" s="5" t="inlineStr">
        <is>
          <t>单套纯制版与机台加工费</t>
        </is>
      </c>
      <c r="B31" s="12" t="n"/>
      <c r="C31" s="12" t="n"/>
      <c r="D31" s="12" t="n"/>
      <c r="E31" s="12" t="n"/>
      <c r="F31" s="13" t="inlineStr">
        <is>
          <t>4层沉金PCB拼板 + 纯贴片/波峰机台费 + 背胶包装 (零人工)</t>
        </is>
      </c>
      <c r="G31" s="12" t="n"/>
      <c r="H31" s="12" t="n"/>
      <c r="I31" s="14">
        <f>I27</f>
        <v/>
      </c>
    </row>
    <row r="32" ht="24" customHeight="1">
      <c r="A32" s="15" t="inlineStr">
        <is>
          <t>单套极限综合制造成本 (COGS)</t>
        </is>
      </c>
      <c r="B32" s="16" t="n"/>
      <c r="C32" s="16" t="n"/>
      <c r="D32" s="16" t="n"/>
      <c r="E32" s="16" t="n"/>
      <c r="F32" s="17" t="inlineStr">
        <is>
          <t>深圳本地极低成本模式下，单套成品纯硬件出厂成本</t>
        </is>
      </c>
      <c r="G32" s="16" t="n"/>
      <c r="H32" s="16" t="n"/>
      <c r="I32" s="18">
        <f>I30+I31</f>
        <v/>
      </c>
    </row>
    <row r="33" ht="22" customHeight="1">
      <c r="A33" s="19" t="inlineStr">
        <is>
          <t>价格方案</t>
        </is>
      </c>
      <c r="B33" s="19" t="n"/>
      <c r="C33" s="19" t="n"/>
      <c r="D33" s="19" t="inlineStr">
        <is>
          <t>售价 (元)</t>
        </is>
      </c>
      <c r="E33" s="19" t="inlineStr">
        <is>
          <t>毛利额 (元)</t>
        </is>
      </c>
      <c r="F33" s="19" t="inlineStr">
        <is>
          <t>毛利率 (%)</t>
        </is>
      </c>
      <c r="G33" s="19" t="inlineStr">
        <is>
          <t>市场定位与竞争分析</t>
        </is>
      </c>
      <c r="H33" s="19" t="n"/>
      <c r="I33" s="19" t="n"/>
    </row>
    <row r="34" ht="22" customHeight="1">
      <c r="A34" s="5" t="inlineStr">
        <is>
          <t>建议零售价 - 极致性价比版</t>
        </is>
      </c>
      <c r="B34" s="12" t="n"/>
      <c r="C34" s="12" t="n"/>
      <c r="D34" s="14" t="n">
        <v>59</v>
      </c>
      <c r="E34" s="14">
        <f>D34-I32</f>
        <v/>
      </c>
      <c r="F34" s="20">
        <f>E34/D34</f>
        <v/>
      </c>
      <c r="G34" s="21" t="inlineStr">
        <is>
          <t>极具破坏力的击穿底价，降维打击市面劣质 HUB</t>
        </is>
      </c>
      <c r="H34" s="12" t="n"/>
      <c r="I34" s="12" t="n"/>
    </row>
    <row r="35" ht="22" customHeight="1">
      <c r="A35" s="22" t="inlineStr">
        <is>
          <t>建议零售价 - 行业主流走量版</t>
        </is>
      </c>
      <c r="B35" s="23" t="n"/>
      <c r="C35" s="23" t="n"/>
      <c r="D35" s="24" t="n">
        <v>69</v>
      </c>
      <c r="E35" s="24">
        <f>D35-I32</f>
        <v/>
      </c>
      <c r="F35" s="25">
        <f>E35/D35</f>
        <v/>
      </c>
      <c r="G35" s="26" t="inlineStr">
        <is>
          <t>兼顾极高转化率与超丰厚毛利空间 (强烈推荐)</t>
        </is>
      </c>
      <c r="H35" s="23" t="n"/>
      <c r="I35" s="23" t="n"/>
    </row>
    <row r="36" ht="22" customHeight="1">
      <c r="A36" s="5" t="inlineStr">
        <is>
          <t>建议零售价 - 品牌标准零售版</t>
        </is>
      </c>
      <c r="B36" s="12" t="n"/>
      <c r="C36" s="12" t="n"/>
      <c r="D36" s="14" t="n">
        <v>79</v>
      </c>
      <c r="E36" s="14">
        <f>D36-I32</f>
        <v/>
      </c>
      <c r="F36" s="20">
        <f>E36/D36</f>
        <v/>
      </c>
      <c r="G36" s="21" t="inlineStr">
        <is>
          <t>常规电商标价，毛利率逼近 80%</t>
        </is>
      </c>
      <c r="H36" s="12" t="n"/>
      <c r="I36" s="12" t="n"/>
    </row>
  </sheetData>
  <mergeCells count="19">
    <mergeCell ref="A30:E30"/>
    <mergeCell ref="F32:H32"/>
    <mergeCell ref="G34:I34"/>
    <mergeCell ref="G33:I33"/>
    <mergeCell ref="A33:C33"/>
    <mergeCell ref="A2:I2"/>
    <mergeCell ref="F31:H31"/>
    <mergeCell ref="G35:I35"/>
    <mergeCell ref="A35:C35"/>
    <mergeCell ref="A27:H27"/>
    <mergeCell ref="A29:I29"/>
    <mergeCell ref="A32:E32"/>
    <mergeCell ref="A34:C34"/>
    <mergeCell ref="A36:C36"/>
    <mergeCell ref="G36:I36"/>
    <mergeCell ref="A1:I1"/>
    <mergeCell ref="A19:H19"/>
    <mergeCell ref="F30:H30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2026-10-01T05:11:51Z</dcterms:created>
  <dcterms:modified xsi:type="dcterms:W3CDTF">2026-10-01T05:11:51Z</dcterms:modified>
</cp:coreProperties>
</file>